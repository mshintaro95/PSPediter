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staetaev95\Documents\master1\PSPediter\report\mid-term-report\"/>
    </mc:Choice>
  </mc:AlternateContent>
  <xr:revisionPtr revIDLastSave="0" documentId="13_ncr:1_{56A9D806-76D2-483B-92A2-A7AAD9EC4003}" xr6:coauthVersionLast="47" xr6:coauthVersionMax="47" xr10:uidLastSave="{00000000-0000-0000-0000-000000000000}"/>
  <bookViews>
    <workbookView xWindow="-23148" yWindow="-108" windowWidth="23256" windowHeight="12456" xr2:uid="{0108C684-E3E7-4288-B6CB-373638E04967}"/>
  </bookViews>
  <sheets>
    <sheet name="Sheet1" sheetId="1" r:id="rId1"/>
  </sheets>
  <definedNames>
    <definedName name="_xlchart.v1.0" hidden="1">Sheet1!$O$4:$X$4</definedName>
    <definedName name="_xlchart.v1.1" hidden="1">Sheet1!$O$5:$X$5</definedName>
    <definedName name="_xlchart.v1.10" hidden="1">Sheet1!$AD$4:$AI$4</definedName>
    <definedName name="_xlchart.v1.11" hidden="1">Sheet1!$AD$7:$AI$7</definedName>
    <definedName name="_xlchart.v1.12" hidden="1">Sheet1!$AD$4:$AI$4</definedName>
    <definedName name="_xlchart.v1.13" hidden="1">Sheet1!$AD$9:$AI$9</definedName>
    <definedName name="_xlchart.v1.2" hidden="1">Sheet1!$C$4:$L$4</definedName>
    <definedName name="_xlchart.v1.3" hidden="1">Sheet1!$C$5:$L$5</definedName>
    <definedName name="_xlchart.v1.4" hidden="1">Sheet1!$AD$4:$AI$4</definedName>
    <definedName name="_xlchart.v1.5" hidden="1">Sheet1!$AD$8:$AI$8</definedName>
    <definedName name="_xlchart.v1.6" hidden="1">Sheet1!$AD$4:$AI$4</definedName>
    <definedName name="_xlchart.v1.7" hidden="1">Sheet1!$AD$6:$AI$6</definedName>
    <definedName name="_xlchart.v1.8" hidden="1">Sheet1!$AD$4:$AI$4</definedName>
    <definedName name="_xlchart.v1.9" hidden="1">Sheet1!$AD$5:$AI$5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5" i="1" l="1"/>
  <c r="BC27" i="1"/>
  <c r="BD27" i="1"/>
  <c r="BE27" i="1"/>
  <c r="BG27" i="1"/>
  <c r="BH27" i="1"/>
  <c r="BB27" i="1"/>
  <c r="AV60" i="1"/>
  <c r="BC33" i="1"/>
  <c r="AY33" i="1"/>
  <c r="AX33" i="1"/>
  <c r="AW33" i="1"/>
  <c r="AV33" i="1"/>
  <c r="AU33" i="1"/>
  <c r="AT33" i="1"/>
  <c r="AR35" i="1"/>
  <c r="AR32" i="1"/>
  <c r="AU32" i="1"/>
  <c r="AV32" i="1"/>
  <c r="AW32" i="1"/>
  <c r="AX32" i="1"/>
  <c r="AY32" i="1"/>
  <c r="AT32" i="1"/>
  <c r="AU37" i="1"/>
  <c r="AZ37" i="1"/>
  <c r="AY37" i="1"/>
  <c r="AX37" i="1"/>
  <c r="AV37" i="1"/>
  <c r="AW37" i="1"/>
  <c r="AT6" i="1"/>
  <c r="AS6" i="1"/>
  <c r="AR6" i="1"/>
  <c r="AQ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C5" i="1"/>
</calcChain>
</file>

<file path=xl/sharedStrings.xml><?xml version="1.0" encoding="utf-8"?>
<sst xmlns="http://schemas.openxmlformats.org/spreadsheetml/2006/main" count="60" uniqueCount="33">
  <si>
    <t>Sysntax</t>
    <phoneticPr fontId="1"/>
  </si>
  <si>
    <t>Documentation</t>
    <phoneticPr fontId="1"/>
  </si>
  <si>
    <t>Build</t>
    <phoneticPr fontId="1"/>
  </si>
  <si>
    <t>Assignment</t>
    <phoneticPr fontId="1"/>
  </si>
  <si>
    <t>interface</t>
    <phoneticPr fontId="1"/>
  </si>
  <si>
    <t>Checking</t>
    <phoneticPr fontId="1"/>
  </si>
  <si>
    <t>Data</t>
    <phoneticPr fontId="1"/>
  </si>
  <si>
    <t>Function</t>
    <phoneticPr fontId="1"/>
  </si>
  <si>
    <t>System</t>
    <phoneticPr fontId="1"/>
  </si>
  <si>
    <t>Environment</t>
    <phoneticPr fontId="1"/>
  </si>
  <si>
    <t>plannig</t>
    <phoneticPr fontId="1"/>
  </si>
  <si>
    <t>design</t>
    <phoneticPr fontId="1"/>
  </si>
  <si>
    <t>code</t>
    <phoneticPr fontId="1"/>
  </si>
  <si>
    <t>compile</t>
    <phoneticPr fontId="1"/>
  </si>
  <si>
    <t xml:space="preserve">test </t>
    <phoneticPr fontId="1"/>
  </si>
  <si>
    <t>postmotem</t>
    <phoneticPr fontId="1"/>
  </si>
  <si>
    <t>documentation</t>
    <phoneticPr fontId="1"/>
  </si>
  <si>
    <t>Design+Code</t>
    <phoneticPr fontId="1"/>
  </si>
  <si>
    <t>Compile+Test</t>
    <phoneticPr fontId="1"/>
  </si>
  <si>
    <t>plan</t>
    <phoneticPr fontId="1"/>
  </si>
  <si>
    <t>Postmortem</t>
    <phoneticPr fontId="1"/>
  </si>
  <si>
    <t>Program1</t>
    <phoneticPr fontId="1"/>
  </si>
  <si>
    <t>Program2</t>
  </si>
  <si>
    <t>Program3</t>
  </si>
  <si>
    <t>Program4</t>
  </si>
  <si>
    <t>課題番号</t>
  </si>
  <si>
    <r>
      <t>実績規模</t>
    </r>
    <r>
      <rPr>
        <sz val="18"/>
        <color rgb="FF000000"/>
        <rFont val="Calibri"/>
        <family val="2"/>
      </rPr>
      <t>(LOC)</t>
    </r>
  </si>
  <si>
    <r>
      <t>規模見積もり誤差</t>
    </r>
    <r>
      <rPr>
        <sz val="18"/>
        <color rgb="FF000000"/>
        <rFont val="Calibri"/>
        <family val="2"/>
      </rPr>
      <t>(%)</t>
    </r>
  </si>
  <si>
    <r>
      <t>実績時間</t>
    </r>
    <r>
      <rPr>
        <sz val="18"/>
        <color rgb="FF000000"/>
        <rFont val="Calibri"/>
        <family val="2"/>
      </rPr>
      <t>(h)</t>
    </r>
  </si>
  <si>
    <r>
      <t>生産性</t>
    </r>
    <r>
      <rPr>
        <sz val="18"/>
        <color rgb="FF000000"/>
        <rFont val="Calibri"/>
        <family val="2"/>
      </rPr>
      <t>(LOC/h)</t>
    </r>
  </si>
  <si>
    <t>Syntax</t>
    <phoneticPr fontId="1"/>
  </si>
  <si>
    <t>test</t>
    <phoneticPr fontId="1"/>
  </si>
  <si>
    <t>postmortem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</si>
</sst>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rgb="FF000000"/>
      <name val="Arial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工程別時間割合</a:t>
            </a:r>
            <a:r>
              <a:rPr lang="en-US" altLang="ja-JP"/>
              <a:t>(%)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50-4AF0-8363-482E766F98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50-4AF0-8363-482E766F98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50-4AF0-8363-482E766F98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50-4AF0-8363-482E766F98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Sheet1!$AQ$4:$AT$4</c:f>
              <c:strCache>
                <c:ptCount val="4"/>
                <c:pt idx="0">
                  <c:v>plan</c:v>
                </c:pt>
                <c:pt idx="1">
                  <c:v>Design+Code</c:v>
                </c:pt>
                <c:pt idx="2">
                  <c:v>Compile+Test</c:v>
                </c:pt>
                <c:pt idx="3">
                  <c:v>Postmortem</c:v>
                </c:pt>
              </c:strCache>
            </c:strRef>
          </c:cat>
          <c:val>
            <c:numRef>
              <c:f>Sheet1!$AQ$6:$AT$6</c:f>
              <c:numCache>
                <c:formatCode>General</c:formatCode>
                <c:ptCount val="4"/>
                <c:pt idx="0">
                  <c:v>32.940548263495529</c:v>
                </c:pt>
                <c:pt idx="1">
                  <c:v>41.780016307916554</c:v>
                </c:pt>
                <c:pt idx="2">
                  <c:v>15.514168404494058</c:v>
                </c:pt>
                <c:pt idx="3">
                  <c:v>9.741454579566037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9-4609-A32D-D6EB36E15D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課題ごとの欠陥数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Sheet1!$AZ$4:$BC$4</c:f>
              <c:strCache>
                <c:ptCount val="4"/>
                <c:pt idx="0">
                  <c:v>Program1</c:v>
                </c:pt>
                <c:pt idx="1">
                  <c:v>Program2</c:v>
                </c:pt>
                <c:pt idx="2">
                  <c:v>Program3</c:v>
                </c:pt>
                <c:pt idx="3">
                  <c:v>Program4</c:v>
                </c:pt>
              </c:strCache>
            </c:strRef>
          </c:cat>
          <c:val>
            <c:numRef>
              <c:f>Sheet1!$AZ$5:$BC$5</c:f>
              <c:numCache>
                <c:formatCode>General</c:formatCode>
                <c:ptCount val="4"/>
                <c:pt idx="0">
                  <c:v>25</c:v>
                </c:pt>
                <c:pt idx="1">
                  <c:v>15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7-4D3E-A157-9C42D2803E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20910575"/>
        <c:axId val="1620911055"/>
      </c:lineChart>
      <c:catAx>
        <c:axId val="162091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0911055"/>
        <c:crosses val="autoZero"/>
        <c:auto val="1"/>
        <c:lblAlgn val="ctr"/>
        <c:lblOffset val="100"/>
        <c:noMultiLvlLbl val="0"/>
      </c:catAx>
      <c:valAx>
        <c:axId val="16209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欠陥数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091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Sheet1!$J$47</c:f>
              <c:strCache>
                <c:ptCount val="1"/>
                <c:pt idx="0">
                  <c:v>実績規模(LOC)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Sheet1!$J$48:$J$51</c:f>
              <c:numCache>
                <c:formatCode>General</c:formatCode>
                <c:ptCount val="4"/>
                <c:pt idx="0">
                  <c:v>97</c:v>
                </c:pt>
                <c:pt idx="1">
                  <c:v>111</c:v>
                </c:pt>
                <c:pt idx="2">
                  <c:v>118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0-4392-A246-38ED64E39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698304"/>
        <c:axId val="359713184"/>
      </c:lineChart>
      <c:catAx>
        <c:axId val="35969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/>
                  <a:t>課題番号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9713184"/>
        <c:crosses val="autoZero"/>
        <c:auto val="1"/>
        <c:lblAlgn val="ctr"/>
        <c:lblOffset val="100"/>
        <c:noMultiLvlLbl val="0"/>
      </c:catAx>
      <c:valAx>
        <c:axId val="3597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/>
                  <a:t>実績規模</a:t>
                </a:r>
                <a:r>
                  <a:rPr lang="en-US" altLang="ja-JP" sz="1100"/>
                  <a:t>(LOC)</a:t>
                </a:r>
                <a:endParaRPr lang="ja-JP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969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Sheet1!$N$47</c:f>
              <c:strCache>
                <c:ptCount val="1"/>
                <c:pt idx="0">
                  <c:v>規模見積もり誤差(%)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1.2069335083114509E-2"/>
                  <c:y val="-1.178222513852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50-46F8-ADDF-BA75841372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Sheet1!$M$48:$M$50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Sheet1!$N$48:$N$50</c:f>
              <c:numCache>
                <c:formatCode>General</c:formatCode>
                <c:ptCount val="3"/>
                <c:pt idx="0">
                  <c:v>58.57</c:v>
                </c:pt>
                <c:pt idx="1">
                  <c:v>-4.07</c:v>
                </c:pt>
                <c:pt idx="2">
                  <c:v>-42.53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0-46F8-ADDF-BA75841372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5203040"/>
        <c:axId val="555231360"/>
      </c:lineChart>
      <c:catAx>
        <c:axId val="55520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課題番号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231360"/>
        <c:crosses val="autoZero"/>
        <c:auto val="1"/>
        <c:lblAlgn val="ctr"/>
        <c:lblOffset val="100"/>
        <c:noMultiLvlLbl val="0"/>
      </c:catAx>
      <c:valAx>
        <c:axId val="5552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20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Sheet1!$F$59</c:f>
              <c:strCache>
                <c:ptCount val="1"/>
                <c:pt idx="0">
                  <c:v>実績時間(h)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Sheet1!$E$60:$E$63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Sheet1!$F$60:$F$63</c:f>
              <c:numCache>
                <c:formatCode>General</c:formatCode>
                <c:ptCount val="4"/>
                <c:pt idx="0">
                  <c:v>6.65</c:v>
                </c:pt>
                <c:pt idx="1">
                  <c:v>6.68</c:v>
                </c:pt>
                <c:pt idx="2">
                  <c:v>9.6199999999999992</c:v>
                </c:pt>
                <c:pt idx="3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B-46B5-97BE-B8CBCE0332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5224640"/>
        <c:axId val="555217440"/>
      </c:lineChart>
      <c:catAx>
        <c:axId val="55522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課題番号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217440"/>
        <c:crosses val="autoZero"/>
        <c:auto val="1"/>
        <c:lblAlgn val="ctr"/>
        <c:lblOffset val="100"/>
        <c:noMultiLvlLbl val="0"/>
      </c:catAx>
      <c:valAx>
        <c:axId val="5552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22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時間見積もり誤差</a:t>
            </a:r>
            <a:r>
              <a:rPr lang="en-US" altLang="ja-JP"/>
              <a:t>(%)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5.6020997375328084E-2"/>
                  <c:y val="-0.150428331875182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8D-4224-B943-38D62EBC2A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Sheet1!$M$67:$M$70</c:f>
              <c:numCache>
                <c:formatCode>General</c:formatCode>
                <c:ptCount val="4"/>
                <c:pt idx="0">
                  <c:v>-38.82</c:v>
                </c:pt>
                <c:pt idx="1">
                  <c:v>9.51</c:v>
                </c:pt>
                <c:pt idx="2">
                  <c:v>29.65</c:v>
                </c:pt>
                <c:pt idx="3">
                  <c:v>-14.36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8D-4224-B943-38D62EBC2A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4542960"/>
        <c:axId val="474541520"/>
      </c:lineChart>
      <c:catAx>
        <c:axId val="47454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課題番号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541520"/>
        <c:crosses val="autoZero"/>
        <c:auto val="1"/>
        <c:lblAlgn val="ctr"/>
        <c:lblOffset val="100"/>
        <c:noMultiLvlLbl val="0"/>
      </c:catAx>
      <c:valAx>
        <c:axId val="4745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54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Sheet1!$Z$68</c:f>
              <c:strCache>
                <c:ptCount val="1"/>
                <c:pt idx="0">
                  <c:v>生産性(LOC/h)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Sheet1!$Z$69:$Z$72</c:f>
              <c:numCache>
                <c:formatCode>General</c:formatCode>
                <c:ptCount val="4"/>
                <c:pt idx="0">
                  <c:v>14.6</c:v>
                </c:pt>
                <c:pt idx="1">
                  <c:v>16.600000000000001</c:v>
                </c:pt>
                <c:pt idx="2">
                  <c:v>12.3</c:v>
                </c:pt>
                <c:pt idx="3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4-4D55-B35C-E332154BA2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4854512"/>
        <c:axId val="1034838672"/>
      </c:lineChart>
      <c:catAx>
        <c:axId val="103485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課題番号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4838672"/>
        <c:crosses val="autoZero"/>
        <c:auto val="1"/>
        <c:lblAlgn val="ctr"/>
        <c:lblOffset val="100"/>
        <c:noMultiLvlLbl val="0"/>
      </c:catAx>
      <c:valAx>
        <c:axId val="10348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48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フェーズ別時間割合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244639896469"/>
          <c:y val="0.27353591586726606"/>
          <c:w val="0.81412788430324645"/>
          <c:h val="0.5007570158321393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B819-47BC-B42E-095B01BD54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19-47BC-B42E-095B01BD54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819-47BC-B42E-095B01BD54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19-47BC-B42E-095B01BD54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819-47BC-B42E-095B01BD54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19-47BC-B42E-095B01BD54ED}"/>
              </c:ext>
            </c:extLst>
          </c:dPt>
          <c:dLbls>
            <c:dLbl>
              <c:idx val="0"/>
              <c:layout>
                <c:manualLayout>
                  <c:x val="3.7499504723522521E-3"/>
                  <c:y val="-0.105840847307430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19-47BC-B42E-095B01BD54ED}"/>
                </c:ext>
              </c:extLst>
            </c:dLbl>
            <c:dLbl>
              <c:idx val="1"/>
              <c:layout>
                <c:manualLayout>
                  <c:x val="7.2856367209083311E-2"/>
                  <c:y val="4.45028223460634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19-47BC-B42E-095B01BD54ED}"/>
                </c:ext>
              </c:extLst>
            </c:dLbl>
            <c:dLbl>
              <c:idx val="2"/>
              <c:layout>
                <c:manualLayout>
                  <c:x val="-0.11835083165084467"/>
                  <c:y val="1.203852892131685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19-47BC-B42E-095B01BD54ED}"/>
                </c:ext>
              </c:extLst>
            </c:dLbl>
            <c:dLbl>
              <c:idx val="3"/>
              <c:layout>
                <c:manualLayout>
                  <c:x val="-0.10506893160046797"/>
                  <c:y val="6.39950259460312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19-47BC-B42E-095B01BD54ED}"/>
                </c:ext>
              </c:extLst>
            </c:dLbl>
            <c:dLbl>
              <c:idx val="4"/>
              <c:layout>
                <c:manualLayout>
                  <c:x val="-0.14575779913501868"/>
                  <c:y val="-3.32289912691132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19-47BC-B42E-095B01BD54ED}"/>
                </c:ext>
              </c:extLst>
            </c:dLbl>
            <c:dLbl>
              <c:idx val="5"/>
              <c:layout>
                <c:manualLayout>
                  <c:x val="-8.0057796043622648E-2"/>
                  <c:y val="-1.470145492559841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19-47BC-B42E-095B01BD54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Sheet1!$AT$28:$AY$28</c:f>
              <c:strCache>
                <c:ptCount val="6"/>
                <c:pt idx="0">
                  <c:v>plan</c:v>
                </c:pt>
                <c:pt idx="1">
                  <c:v>design</c:v>
                </c:pt>
                <c:pt idx="2">
                  <c:v>code</c:v>
                </c:pt>
                <c:pt idx="3">
                  <c:v>compile</c:v>
                </c:pt>
                <c:pt idx="4">
                  <c:v>test</c:v>
                </c:pt>
                <c:pt idx="5">
                  <c:v>postmortem</c:v>
                </c:pt>
              </c:strCache>
            </c:strRef>
          </c:cat>
          <c:val>
            <c:numRef>
              <c:f>Sheet1!$AT$29:$AY$29</c:f>
              <c:numCache>
                <c:formatCode>General</c:formatCode>
                <c:ptCount val="6"/>
                <c:pt idx="0">
                  <c:v>33</c:v>
                </c:pt>
                <c:pt idx="1">
                  <c:v>11</c:v>
                </c:pt>
                <c:pt idx="2">
                  <c:v>31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9-47BC-B42E-095B01BD54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課題</a:t>
            </a:r>
            <a:r>
              <a:rPr lang="en-US"/>
              <a:t>4</a:t>
            </a:r>
            <a:r>
              <a:rPr lang="ja-JP"/>
              <a:t>フェーズ別時間割合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63F-4696-8160-C9D9CFDA43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B63F-4696-8160-C9D9CFDA43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63F-4696-8160-C9D9CFDA43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63F-4696-8160-C9D9CFDA43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63F-4696-8160-C9D9CFDA43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63F-4696-8160-C9D9CFDA43CB}"/>
              </c:ext>
            </c:extLst>
          </c:dPt>
          <c:dLbls>
            <c:dLbl>
              <c:idx val="0"/>
              <c:layout>
                <c:manualLayout>
                  <c:x val="4.0160870516185374E-2"/>
                  <c:y val="-0.1088123359580052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3F-4696-8160-C9D9CFDA43CB}"/>
                </c:ext>
              </c:extLst>
            </c:dLbl>
            <c:dLbl>
              <c:idx val="1"/>
              <c:layout>
                <c:manualLayout>
                  <c:x val="6.6154199475065623E-2"/>
                  <c:y val="-1.605788859725867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3F-4696-8160-C9D9CFDA43CB}"/>
                </c:ext>
              </c:extLst>
            </c:dLbl>
            <c:dLbl>
              <c:idx val="2"/>
              <c:layout>
                <c:manualLayout>
                  <c:x val="-4.2169728783902011E-3"/>
                  <c:y val="1.829359871682697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3F-4696-8160-C9D9CFDA43CB}"/>
                </c:ext>
              </c:extLst>
            </c:dLbl>
            <c:dLbl>
              <c:idx val="3"/>
              <c:layout>
                <c:manualLayout>
                  <c:x val="-4.5792432195975501E-2"/>
                  <c:y val="1.634477981918926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3F-4696-8160-C9D9CFDA43CB}"/>
                </c:ext>
              </c:extLst>
            </c:dLbl>
            <c:dLbl>
              <c:idx val="4"/>
              <c:layout>
                <c:manualLayout>
                  <c:x val="-1.7743219597550305E-2"/>
                  <c:y val="-2.026356080489938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3F-4696-8160-C9D9CFDA43CB}"/>
                </c:ext>
              </c:extLst>
            </c:dLbl>
            <c:dLbl>
              <c:idx val="5"/>
              <c:layout>
                <c:manualLayout>
                  <c:x val="-1.5290463692038495E-2"/>
                  <c:y val="1.22182123067949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3F-4696-8160-C9D9CFDA43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Sheet1!$AU$35:$AZ$35</c:f>
              <c:strCache>
                <c:ptCount val="6"/>
                <c:pt idx="0">
                  <c:v>plan</c:v>
                </c:pt>
                <c:pt idx="1">
                  <c:v>design</c:v>
                </c:pt>
                <c:pt idx="2">
                  <c:v>code</c:v>
                </c:pt>
                <c:pt idx="3">
                  <c:v>compile</c:v>
                </c:pt>
                <c:pt idx="4">
                  <c:v>test</c:v>
                </c:pt>
                <c:pt idx="5">
                  <c:v>postmortem</c:v>
                </c:pt>
              </c:strCache>
            </c:strRef>
          </c:cat>
          <c:val>
            <c:numRef>
              <c:f>Sheet1!$AU$38:$AZ$38</c:f>
              <c:numCache>
                <c:formatCode>General</c:formatCode>
                <c:ptCount val="6"/>
                <c:pt idx="0">
                  <c:v>39</c:v>
                </c:pt>
                <c:pt idx="1">
                  <c:v>8</c:v>
                </c:pt>
                <c:pt idx="2">
                  <c:v>17</c:v>
                </c:pt>
                <c:pt idx="3">
                  <c:v>4</c:v>
                </c:pt>
                <c:pt idx="4">
                  <c:v>13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F-4696-8160-C9D9CFDA43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課題</a:t>
            </a:r>
            <a:r>
              <a:rPr lang="en-US"/>
              <a:t>1-3</a:t>
            </a:r>
            <a:r>
              <a:rPr lang="ja-JP"/>
              <a:t>フェーズ別時間割合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CA-48D7-94FD-2F3F3E10E7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8CA-48D7-94FD-2F3F3E10E7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CA-48D7-94FD-2F3F3E10E7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CA-48D7-94FD-2F3F3E10E7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E5E-46ED-BF6C-D5EE224C87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8CA-48D7-94FD-2F3F3E10E72B}"/>
              </c:ext>
            </c:extLst>
          </c:dPt>
          <c:dLbls>
            <c:dLbl>
              <c:idx val="0"/>
              <c:layout>
                <c:manualLayout>
                  <c:x val="1.9189413823272092E-2"/>
                  <c:y val="-7.30311315252260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CA-48D7-94FD-2F3F3E10E72B}"/>
                </c:ext>
              </c:extLst>
            </c:dLbl>
            <c:dLbl>
              <c:idx val="1"/>
              <c:layout>
                <c:manualLayout>
                  <c:x val="7.6665050900999274E-2"/>
                  <c:y val="-1.107448786984130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CA-48D7-94FD-2F3F3E10E72B}"/>
                </c:ext>
              </c:extLst>
            </c:dLbl>
            <c:dLbl>
              <c:idx val="2"/>
              <c:layout>
                <c:manualLayout>
                  <c:x val="-9.1096328035622481E-2"/>
                  <c:y val="-3.174106336438305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CA-48D7-94FD-2F3F3E10E72B}"/>
                </c:ext>
              </c:extLst>
            </c:dLbl>
            <c:dLbl>
              <c:idx val="3"/>
              <c:layout>
                <c:manualLayout>
                  <c:x val="-3.767771323233228E-2"/>
                  <c:y val="-3.98288109277836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CA-48D7-94FD-2F3F3E10E72B}"/>
                </c:ext>
              </c:extLst>
            </c:dLbl>
            <c:dLbl>
              <c:idx val="5"/>
              <c:layout>
                <c:manualLayout>
                  <c:x val="2.5591997776332566E-2"/>
                  <c:y val="-4.954376152297406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CA-48D7-94FD-2F3F3E10E7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Sheet1!$AT$28:$AY$28</c:f>
              <c:strCache>
                <c:ptCount val="6"/>
                <c:pt idx="0">
                  <c:v>plan</c:v>
                </c:pt>
                <c:pt idx="1">
                  <c:v>design</c:v>
                </c:pt>
                <c:pt idx="2">
                  <c:v>code</c:v>
                </c:pt>
                <c:pt idx="3">
                  <c:v>compile</c:v>
                </c:pt>
                <c:pt idx="4">
                  <c:v>test</c:v>
                </c:pt>
                <c:pt idx="5">
                  <c:v>postmortem</c:v>
                </c:pt>
              </c:strCache>
            </c:strRef>
          </c:cat>
          <c:val>
            <c:numRef>
              <c:f>Sheet1!$AT$34:$AY$34</c:f>
              <c:numCache>
                <c:formatCode>General</c:formatCode>
                <c:ptCount val="6"/>
                <c:pt idx="0">
                  <c:v>32</c:v>
                </c:pt>
                <c:pt idx="1">
                  <c:v>11</c:v>
                </c:pt>
                <c:pt idx="2">
                  <c:v>34</c:v>
                </c:pt>
                <c:pt idx="3">
                  <c:v>5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8D7-94FD-2F3F3E10E7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>
      <cx:tx>
        <cx:txData>
          <cx:v>コンパイルで時間を費やす欠陥型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コンパイルで時間を費やす欠陥型</a:t>
          </a:r>
        </a:p>
      </cx:txPr>
    </cx:title>
    <cx:plotArea>
      <cx:plotAreaRegion>
        <cx:series layoutId="clusteredColumn" uniqueId="{416AE854-EB23-4ED5-B7CD-844AD61A5011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4C316D0-EEB8-4164-B61E-6A582B740E7E}">
          <cx:axisId val="2"/>
        </cx:series>
      </cx:plotAreaRegion>
      <cx:axis id="0">
        <cx:catScaling gapWidth="0"/>
        <cx:title>
          <cx:tx>
            <cx:txData>
              <cx:v>欠陥型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欠陥型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費やした時間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(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分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)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  <cx:axis id="2">
        <cx:valScaling max="1" min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ja-JP" alt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endParaRPr>
            </a:p>
          </cx:txPr>
        </cx:title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txData>
          <cx:v>テストで時間を費やす欠陥型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テストで時間を費やす欠陥型</a:t>
          </a:r>
        </a:p>
      </cx:txPr>
    </cx:title>
    <cx:plotArea>
      <cx:plotAreaRegion>
        <cx:series layoutId="clusteredColumn" uniqueId="{416AE854-EB23-4ED5-B7CD-844AD61A5011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4C316D0-EEB8-4164-B61E-6A582B740E7E}">
          <cx:axisId val="2"/>
        </cx:series>
      </cx:plotAreaRegion>
      <cx:axis id="0">
        <cx:catScaling gapWidth="0"/>
        <cx:title>
          <cx:tx>
            <cx:txData>
              <cx:v>欠陥型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欠陥型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費やした時間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(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分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)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  <cx:axis id="2">
        <cx:valScaling max="1" min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ja-JP" alt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endParaRPr>
            </a:p>
          </cx:txPr>
        </cx:title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_xlchart.v1.8</cx:f>
      </cx:strDim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Syntax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欠陥を埋め込むフェーズ</a:t>
            </a:r>
          </a:p>
        </cx:rich>
      </cx:tx>
    </cx:title>
    <cx:plotArea>
      <cx:plotAreaRegion>
        <cx:series layoutId="clusteredColumn" uniqueId="{416AE854-EB23-4ED5-B7CD-844AD61A5011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4C316D0-EEB8-4164-B61E-6A582B740E7E}">
          <cx:axisId val="2"/>
        </cx:series>
      </cx:plotAreaRegion>
      <cx:axis id="0">
        <cx:catScaling gapWidth="0"/>
        <cx:title>
          <cx:tx>
            <cx:txData>
              <cx:v>フェーズ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フェーズ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埋め込んだ個数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(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個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)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  <cx:axis id="2">
        <cx:valScaling max="1" min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ja-JP" alt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endParaRPr>
            </a:p>
          </cx:txPr>
        </cx:title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_xlchart.v1.6</cx:f>
      </cx:strDim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Function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欠陥を埋め込むフェーズ</a:t>
            </a:r>
          </a:p>
        </cx:rich>
      </cx:tx>
    </cx:title>
    <cx:plotArea>
      <cx:plotAreaRegion>
        <cx:series layoutId="clusteredColumn" uniqueId="{A01C8FA3-1B65-4C90-ABEA-BBB6A7D4A0C3}">
          <cx:dataId val="0"/>
          <cx:layoutPr>
            <cx:aggregation/>
          </cx:layoutPr>
          <cx:axisId val="1"/>
        </cx:series>
        <cx:series layoutId="paretoLine" ownerIdx="0" uniqueId="{F14BF539-95A9-4DD5-B3B5-754F626123AC}">
          <cx:axisId val="2"/>
        </cx:series>
      </cx:plotAreaRegion>
      <cx:axis id="0">
        <cx:catScaling gapWidth="0"/>
        <cx:title>
          <cx:tx>
            <cx:txData>
              <cx:v>フェーズ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フェーズ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ja-JP" altLang="ja-JP" sz="900" b="0" i="0" baseline="0">
                    <a:effectLst/>
                  </a:rPr>
                  <a:t>埋め込んだ個数</a:t>
                </a:r>
                <a:r>
                  <a:rPr lang="en-US" altLang="ja-JP" sz="900" b="0" i="0" baseline="0">
                    <a:effectLst/>
                  </a:rPr>
                  <a:t>(</a:t>
                </a:r>
                <a:r>
                  <a:rPr lang="ja-JP" altLang="ja-JP" sz="900" b="0" i="0" baseline="0">
                    <a:effectLst/>
                  </a:rPr>
                  <a:t>個</a:t>
                </a:r>
                <a:r>
                  <a:rPr lang="en-US" altLang="ja-JP" sz="900" b="0" i="0" baseline="0">
                    <a:effectLst/>
                  </a:rPr>
                  <a:t>)</a:t>
                </a:r>
                <a:endParaRPr lang="ja-JP" altLang="ja-JP" sz="900">
                  <a:effectLst/>
                </a:endParaRPr>
              </a:p>
            </cx:rich>
          </cx:tx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Interface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欠陥を埋め込むフェーズ</a:t>
            </a:r>
          </a:p>
        </cx:rich>
      </cx:tx>
    </cx:title>
    <cx:plotArea>
      <cx:plotAreaRegion>
        <cx:series layoutId="clusteredColumn" uniqueId="{0D8C47F8-DFAC-4C0F-8E0B-9EEA6258B0DD}">
          <cx:dataId val="0"/>
          <cx:layoutPr>
            <cx:aggregation/>
          </cx:layoutPr>
          <cx:axisId val="1"/>
        </cx:series>
        <cx:series layoutId="paretoLine" ownerIdx="0" uniqueId="{5800127F-C089-4AC2-8C6D-3A942FF7C8EB}">
          <cx:axisId val="2"/>
        </cx:series>
      </cx:plotAreaRegion>
      <cx:axis id="0">
        <cx:catScaling gapWidth="0"/>
        <cx:title>
          <cx:tx>
            <cx:txData>
              <cx:v>フェーズ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フェーズ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埋め込んだ個数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(</a:t>
                </a: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個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)</a:t>
                </a:r>
                <a:endParaRPr lang="ja-JP" altLang="ja-JP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Assignment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欠陥を埋め込むフェーズ</a:t>
            </a:r>
          </a:p>
        </cx:rich>
      </cx:tx>
    </cx:title>
    <cx:plotArea>
      <cx:plotAreaRegion>
        <cx:series layoutId="clusteredColumn" uniqueId="{F78FBE90-8CD5-46C3-9AEB-2C36933CC9C6}">
          <cx:dataId val="0"/>
          <cx:layoutPr>
            <cx:aggregation/>
          </cx:layoutPr>
          <cx:axisId val="1"/>
        </cx:series>
        <cx:series layoutId="paretoLine" ownerIdx="0" uniqueId="{91610636-F0BE-4F4D-9417-E4B9BD453B3C}">
          <cx:axisId val="2"/>
        </cx:series>
      </cx:plotAreaRegion>
      <cx:axis id="0">
        <cx:catScaling gapWidth="0"/>
        <cx:title>
          <cx:tx>
            <cx:txData>
              <cx:v>フェーズ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フェーズ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埋め込んだ個数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(</a:t>
                </a: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個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)</a:t>
                </a:r>
                <a:endParaRPr lang="ja-JP" altLang="ja-JP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_xlchart.v1.12</cx:f>
      </cx:strDim>
      <cx:numDim type="val">
        <cx:f dir="row"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Documentation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欠陥を埋め込むフェーズ</a:t>
            </a:r>
          </a:p>
        </cx:rich>
      </cx:tx>
    </cx:title>
    <cx:plotArea>
      <cx:plotAreaRegion>
        <cx:series layoutId="clusteredColumn" uniqueId="{B9324E2A-4A42-4D7B-8B6C-9446A1F47D79}">
          <cx:dataId val="0"/>
          <cx:layoutPr>
            <cx:aggregation/>
          </cx:layoutPr>
          <cx:axisId val="1"/>
        </cx:series>
        <cx:series layoutId="paretoLine" ownerIdx="0" uniqueId="{6598EF99-CDAA-43BD-9B0A-FBD5349C9D26}">
          <cx:axisId val="2"/>
        </cx:series>
      </cx:plotAreaRegion>
      <cx:axis id="0">
        <cx:catScaling gapWidth="0"/>
        <cx:title>
          <cx:tx>
            <cx:txData>
              <cx:v>フェーズ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rPr>
                <a:t>フェーズ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埋め込んだ個数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(</a:t>
                </a: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個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游ゴシック" panose="020B0400000000000000" pitchFamily="50" charset="-128"/>
                    <a:cs typeface="Calibri" panose="020F0502020204030204" pitchFamily="34" charset="0"/>
                  </a:rPr>
                  <a:t>)</a:t>
                </a:r>
                <a:endParaRPr lang="ja-JP" altLang="ja-JP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openxmlformats.org/officeDocument/2006/relationships/chart" Target="../charts/chart5.xml"/><Relationship Id="rId17" Type="http://schemas.openxmlformats.org/officeDocument/2006/relationships/chart" Target="../charts/chart10.xml"/><Relationship Id="rId2" Type="http://schemas.microsoft.com/office/2014/relationships/chartEx" Target="../charts/chartEx2.xml"/><Relationship Id="rId16" Type="http://schemas.openxmlformats.org/officeDocument/2006/relationships/chart" Target="../charts/chart9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openxmlformats.org/officeDocument/2006/relationships/chart" Target="../charts/chart4.xml"/><Relationship Id="rId5" Type="http://schemas.microsoft.com/office/2014/relationships/chartEx" Target="../charts/chartEx5.xml"/><Relationship Id="rId15" Type="http://schemas.openxmlformats.org/officeDocument/2006/relationships/chart" Target="../charts/chart8.xml"/><Relationship Id="rId10" Type="http://schemas.openxmlformats.org/officeDocument/2006/relationships/chart" Target="../charts/chart3.xml"/><Relationship Id="rId4" Type="http://schemas.microsoft.com/office/2014/relationships/chartEx" Target="../charts/chartEx4.xml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92924</xdr:colOff>
      <xdr:row>21</xdr:row>
      <xdr:rowOff>66372</xdr:rowOff>
    </xdr:from>
    <xdr:to>
      <xdr:col>10</xdr:col>
      <xdr:colOff>242149</xdr:colOff>
      <xdr:row>34</xdr:row>
      <xdr:rowOff>211546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9DABED84-B2D4-1EA1-4453-1F8831973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614" y="4864432"/>
              <a:ext cx="5451475" cy="3123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268942</xdr:colOff>
      <xdr:row>13</xdr:row>
      <xdr:rowOff>224117</xdr:rowOff>
    </xdr:from>
    <xdr:to>
      <xdr:col>19</xdr:col>
      <xdr:colOff>418166</xdr:colOff>
      <xdr:row>27</xdr:row>
      <xdr:rowOff>137703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F86006BF-4215-4672-94DC-16C3D86240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1282" y="3194647"/>
              <a:ext cx="5452744" cy="3112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27</xdr:col>
      <xdr:colOff>1</xdr:colOff>
      <xdr:row>11</xdr:row>
      <xdr:rowOff>201705</xdr:rowOff>
    </xdr:from>
    <xdr:to>
      <xdr:col>34</xdr:col>
      <xdr:colOff>126814</xdr:colOff>
      <xdr:row>25</xdr:row>
      <xdr:rowOff>115291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C3AD7279-1AF8-4B3A-97A5-DDCD560E0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9381" y="2718845"/>
              <a:ext cx="5448113" cy="3111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33</xdr:col>
      <xdr:colOff>336177</xdr:colOff>
      <xdr:row>16</xdr:row>
      <xdr:rowOff>14941</xdr:rowOff>
    </xdr:from>
    <xdr:to>
      <xdr:col>41</xdr:col>
      <xdr:colOff>485402</xdr:colOff>
      <xdr:row>29</xdr:row>
      <xdr:rowOff>160115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51F0E8B3-0F54-4B32-95B4-7AFE05FAC1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0107" y="3675081"/>
              <a:ext cx="5451475" cy="3115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33</xdr:col>
      <xdr:colOff>164352</xdr:colOff>
      <xdr:row>32</xdr:row>
      <xdr:rowOff>44823</xdr:rowOff>
    </xdr:from>
    <xdr:to>
      <xdr:col>41</xdr:col>
      <xdr:colOff>313577</xdr:colOff>
      <xdr:row>45</xdr:row>
      <xdr:rowOff>189997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04688F62-22A2-43F2-9B06-3F067C6794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22092" y="7361293"/>
              <a:ext cx="5451475" cy="3115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23</xdr:col>
      <xdr:colOff>503516</xdr:colOff>
      <xdr:row>21</xdr:row>
      <xdr:rowOff>40341</xdr:rowOff>
    </xdr:from>
    <xdr:to>
      <xdr:col>30</xdr:col>
      <xdr:colOff>630330</xdr:colOff>
      <xdr:row>34</xdr:row>
      <xdr:rowOff>185515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0715ED2D-9F1A-4DFE-82C5-F9DB4AE29B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52406" y="4840941"/>
              <a:ext cx="5448114" cy="3115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24</xdr:col>
      <xdr:colOff>582706</xdr:colOff>
      <xdr:row>38</xdr:row>
      <xdr:rowOff>59765</xdr:rowOff>
    </xdr:from>
    <xdr:to>
      <xdr:col>32</xdr:col>
      <xdr:colOff>52107</xdr:colOff>
      <xdr:row>51</xdr:row>
      <xdr:rowOff>204939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E5263CCC-525A-43CB-A37F-24EEF55DB0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95806" y="8750375"/>
              <a:ext cx="5451101" cy="4647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39</xdr:col>
      <xdr:colOff>219262</xdr:colOff>
      <xdr:row>10</xdr:row>
      <xdr:rowOff>175185</xdr:rowOff>
    </xdr:from>
    <xdr:to>
      <xdr:col>46</xdr:col>
      <xdr:colOff>189380</xdr:colOff>
      <xdr:row>22</xdr:row>
      <xdr:rowOff>142314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131363B2-EF69-2B95-5862-53637A7C7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437029</xdr:colOff>
      <xdr:row>11</xdr:row>
      <xdr:rowOff>6723</xdr:rowOff>
    </xdr:from>
    <xdr:to>
      <xdr:col>55</xdr:col>
      <xdr:colOff>407146</xdr:colOff>
      <xdr:row>22</xdr:row>
      <xdr:rowOff>202453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9AFAA09-4597-53E2-02E1-17B6324FB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623794</xdr:colOff>
      <xdr:row>31</xdr:row>
      <xdr:rowOff>47812</xdr:rowOff>
    </xdr:from>
    <xdr:to>
      <xdr:col>16</xdr:col>
      <xdr:colOff>593912</xdr:colOff>
      <xdr:row>43</xdr:row>
      <xdr:rowOff>11953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F5629F6-EFE5-B48B-7785-78840671C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653677</xdr:colOff>
      <xdr:row>46</xdr:row>
      <xdr:rowOff>219634</xdr:rowOff>
    </xdr:from>
    <xdr:to>
      <xdr:col>9</xdr:col>
      <xdr:colOff>623795</xdr:colOff>
      <xdr:row>52</xdr:row>
      <xdr:rowOff>56775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74D9780-9205-89D5-0023-FA5508703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41087</xdr:colOff>
      <xdr:row>65</xdr:row>
      <xdr:rowOff>167340</xdr:rowOff>
    </xdr:from>
    <xdr:to>
      <xdr:col>9</xdr:col>
      <xdr:colOff>560294</xdr:colOff>
      <xdr:row>79</xdr:row>
      <xdr:rowOff>201707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120AE059-4880-9DA8-B982-D6D2FDC9D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377265</xdr:colOff>
      <xdr:row>58</xdr:row>
      <xdr:rowOff>227106</xdr:rowOff>
    </xdr:from>
    <xdr:to>
      <xdr:col>11</xdr:col>
      <xdr:colOff>347383</xdr:colOff>
      <xdr:row>66</xdr:row>
      <xdr:rowOff>176306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B5676D5C-1F59-7C2C-44D9-152320344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616324</xdr:colOff>
      <xdr:row>57</xdr:row>
      <xdr:rowOff>167341</xdr:rowOff>
    </xdr:from>
    <xdr:to>
      <xdr:col>28</xdr:col>
      <xdr:colOff>586442</xdr:colOff>
      <xdr:row>65</xdr:row>
      <xdr:rowOff>116541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D13E3C5-E374-5C62-2A70-2A4A029DD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38847</xdr:colOff>
      <xdr:row>8</xdr:row>
      <xdr:rowOff>1867</xdr:rowOff>
    </xdr:from>
    <xdr:to>
      <xdr:col>54</xdr:col>
      <xdr:colOff>5977</xdr:colOff>
      <xdr:row>19</xdr:row>
      <xdr:rowOff>194608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245B0EF-0365-B898-317F-4C9CC27AC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495754</xdr:colOff>
      <xdr:row>42</xdr:row>
      <xdr:rowOff>80736</xdr:rowOff>
    </xdr:from>
    <xdr:to>
      <xdr:col>48</xdr:col>
      <xdr:colOff>100240</xdr:colOff>
      <xdr:row>48</xdr:row>
      <xdr:rowOff>143329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2AF078F-A755-039E-0F71-A894C29BE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48</xdr:col>
      <xdr:colOff>104321</xdr:colOff>
      <xdr:row>46</xdr:row>
      <xdr:rowOff>252185</xdr:rowOff>
    </xdr:from>
    <xdr:to>
      <xdr:col>55</xdr:col>
      <xdr:colOff>40821</xdr:colOff>
      <xdr:row>52</xdr:row>
      <xdr:rowOff>83456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6CF1E150-334A-B62B-A80E-281F7C1BF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9E99-A936-4441-89CD-BEFA0D20C4BA}">
  <dimension ref="B4:BJ72"/>
  <sheetViews>
    <sheetView tabSelected="1" topLeftCell="AR13" zoomScaleNormal="100" workbookViewId="0">
      <selection activeCell="BL20" sqref="BL20"/>
    </sheetView>
  </sheetViews>
  <sheetFormatPr defaultRowHeight="18" x14ac:dyDescent="0.55000000000000004"/>
  <cols>
    <col min="29" max="29" width="17.58203125" customWidth="1"/>
    <col min="44" max="44" width="13.25" bestFit="1" customWidth="1"/>
  </cols>
  <sheetData>
    <row r="4" spans="3:55" x14ac:dyDescent="0.55000000000000004">
      <c r="C4" t="s">
        <v>1</v>
      </c>
      <c r="D4" t="s">
        <v>30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O4" t="s">
        <v>1</v>
      </c>
      <c r="P4" t="s">
        <v>30</v>
      </c>
      <c r="Q4" t="s">
        <v>2</v>
      </c>
      <c r="R4" t="s">
        <v>3</v>
      </c>
      <c r="S4" t="s">
        <v>4</v>
      </c>
      <c r="T4" t="s">
        <v>5</v>
      </c>
      <c r="U4" t="s">
        <v>6</v>
      </c>
      <c r="V4" t="s">
        <v>7</v>
      </c>
      <c r="W4" t="s">
        <v>8</v>
      </c>
      <c r="X4" t="s">
        <v>9</v>
      </c>
      <c r="AD4" t="s">
        <v>10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Q4" t="s">
        <v>19</v>
      </c>
      <c r="AR4" t="s">
        <v>17</v>
      </c>
      <c r="AS4" t="s">
        <v>18</v>
      </c>
      <c r="AT4" t="s">
        <v>20</v>
      </c>
      <c r="AZ4" t="s">
        <v>21</v>
      </c>
      <c r="BA4" t="s">
        <v>22</v>
      </c>
      <c r="BB4" t="s">
        <v>23</v>
      </c>
      <c r="BC4" t="s">
        <v>24</v>
      </c>
    </row>
    <row r="5" spans="3:55" x14ac:dyDescent="0.55000000000000004">
      <c r="C5">
        <f>SUM(C6:C19)</f>
        <v>0</v>
      </c>
      <c r="D5">
        <f t="shared" ref="D5:X5" si="0">SUM(D6:D19)</f>
        <v>12.6</v>
      </c>
      <c r="E5">
        <f t="shared" si="0"/>
        <v>0</v>
      </c>
      <c r="F5">
        <f t="shared" si="0"/>
        <v>2.6</v>
      </c>
      <c r="G5">
        <f t="shared" si="0"/>
        <v>47.7</v>
      </c>
      <c r="H5">
        <f t="shared" si="0"/>
        <v>0</v>
      </c>
      <c r="I5">
        <f t="shared" si="0"/>
        <v>0</v>
      </c>
      <c r="J5">
        <f t="shared" si="0"/>
        <v>0.2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96.199999999999989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22.1</v>
      </c>
      <c r="V5">
        <f t="shared" si="0"/>
        <v>18.600000000000001</v>
      </c>
      <c r="W5">
        <f t="shared" si="0"/>
        <v>0</v>
      </c>
      <c r="X5">
        <f t="shared" si="0"/>
        <v>0</v>
      </c>
      <c r="AC5" t="s">
        <v>0</v>
      </c>
      <c r="AE5">
        <v>2</v>
      </c>
      <c r="AF5">
        <v>15</v>
      </c>
      <c r="AQ5">
        <v>9.1300000000000008</v>
      </c>
      <c r="AR5">
        <v>11.58</v>
      </c>
      <c r="AS5">
        <v>4.3</v>
      </c>
      <c r="AT5">
        <v>2.7</v>
      </c>
      <c r="AZ5">
        <v>25</v>
      </c>
      <c r="BA5">
        <v>15</v>
      </c>
      <c r="BB5">
        <v>7</v>
      </c>
      <c r="BC5">
        <v>5</v>
      </c>
    </row>
    <row r="6" spans="3:55" x14ac:dyDescent="0.55000000000000004">
      <c r="D6">
        <v>0.6</v>
      </c>
      <c r="V6">
        <v>5.7</v>
      </c>
      <c r="AC6" t="s">
        <v>7</v>
      </c>
      <c r="AD6">
        <v>1</v>
      </c>
      <c r="AE6">
        <v>1</v>
      </c>
      <c r="AF6">
        <v>3</v>
      </c>
      <c r="AN6">
        <v>27.7166</v>
      </c>
      <c r="AQ6">
        <f>(AQ5/AN6)*100</f>
        <v>32.940548263495529</v>
      </c>
      <c r="AR6">
        <f>(AR5/AN6)*100</f>
        <v>41.780016307916554</v>
      </c>
      <c r="AS6">
        <f>(AS5/AN6)*100</f>
        <v>15.514168404494058</v>
      </c>
      <c r="AT6">
        <f>(AT5/AN6)*100</f>
        <v>9.741454579566037</v>
      </c>
    </row>
    <row r="7" spans="3:55" x14ac:dyDescent="0.55000000000000004">
      <c r="G7">
        <v>22.2</v>
      </c>
      <c r="U7">
        <v>1.8</v>
      </c>
      <c r="AC7" t="s">
        <v>3</v>
      </c>
      <c r="AD7">
        <v>1</v>
      </c>
      <c r="AE7">
        <v>2</v>
      </c>
      <c r="AF7">
        <v>6</v>
      </c>
    </row>
    <row r="8" spans="3:55" x14ac:dyDescent="0.55000000000000004">
      <c r="D8">
        <v>1.2</v>
      </c>
      <c r="P8">
        <v>7.6</v>
      </c>
      <c r="AC8" t="s">
        <v>4</v>
      </c>
      <c r="AE8">
        <v>1</v>
      </c>
      <c r="AF8">
        <v>13</v>
      </c>
    </row>
    <row r="9" spans="3:55" x14ac:dyDescent="0.55000000000000004">
      <c r="D9">
        <v>0.4</v>
      </c>
      <c r="U9">
        <v>20.3</v>
      </c>
      <c r="AC9" t="s">
        <v>16</v>
      </c>
      <c r="AD9">
        <v>3</v>
      </c>
    </row>
    <row r="10" spans="3:55" x14ac:dyDescent="0.55000000000000004">
      <c r="G10">
        <v>1.1000000000000001</v>
      </c>
      <c r="P10">
        <v>3.8</v>
      </c>
    </row>
    <row r="11" spans="3:55" x14ac:dyDescent="0.55000000000000004">
      <c r="G11">
        <v>21.6</v>
      </c>
      <c r="P11">
        <v>12.4</v>
      </c>
    </row>
    <row r="12" spans="3:55" x14ac:dyDescent="0.55000000000000004">
      <c r="D12">
        <v>0.3</v>
      </c>
      <c r="P12">
        <v>52.9</v>
      </c>
    </row>
    <row r="13" spans="3:55" x14ac:dyDescent="0.55000000000000004">
      <c r="F13">
        <v>2.6</v>
      </c>
      <c r="V13">
        <v>12.9</v>
      </c>
    </row>
    <row r="14" spans="3:55" x14ac:dyDescent="0.55000000000000004">
      <c r="J14">
        <v>0.2</v>
      </c>
      <c r="P14">
        <v>9.8000000000000007</v>
      </c>
    </row>
    <row r="15" spans="3:55" x14ac:dyDescent="0.55000000000000004">
      <c r="G15">
        <v>2.8</v>
      </c>
      <c r="P15">
        <v>9.6999999999999993</v>
      </c>
    </row>
    <row r="16" spans="3:55" x14ac:dyDescent="0.55000000000000004">
      <c r="D16">
        <v>5.6</v>
      </c>
    </row>
    <row r="17" spans="4:62" x14ac:dyDescent="0.55000000000000004">
      <c r="D17">
        <v>4.5</v>
      </c>
      <c r="BJ17" s="3">
        <v>0.05</v>
      </c>
    </row>
    <row r="18" spans="4:62" x14ac:dyDescent="0.55000000000000004">
      <c r="BJ18" s="3">
        <v>1.6666666666666666E-2</v>
      </c>
    </row>
    <row r="19" spans="4:62" x14ac:dyDescent="0.55000000000000004">
      <c r="BJ19" s="3">
        <v>1.3888888888888888E-2</v>
      </c>
    </row>
    <row r="20" spans="4:62" x14ac:dyDescent="0.55000000000000004">
      <c r="BJ20" s="3">
        <v>4.791666666666667E-2</v>
      </c>
    </row>
    <row r="21" spans="4:62" x14ac:dyDescent="0.55000000000000004">
      <c r="BJ21" s="3">
        <v>1.3888888888888888E-2</v>
      </c>
    </row>
    <row r="22" spans="4:62" x14ac:dyDescent="0.55000000000000004">
      <c r="BJ22" s="3">
        <v>7.6388888888888886E-3</v>
      </c>
    </row>
    <row r="23" spans="4:62" x14ac:dyDescent="0.55000000000000004">
      <c r="BJ23" s="3">
        <v>1.7361111111111112E-2</v>
      </c>
    </row>
    <row r="24" spans="4:62" x14ac:dyDescent="0.55000000000000004">
      <c r="BJ24" s="3">
        <v>1.3888888888888888E-2</v>
      </c>
    </row>
    <row r="25" spans="4:62" x14ac:dyDescent="0.55000000000000004">
      <c r="BJ25" s="3">
        <f>SUM(BJ17:BJ24)</f>
        <v>0.18124999999999999</v>
      </c>
    </row>
    <row r="27" spans="4:62" x14ac:dyDescent="0.55000000000000004">
      <c r="BB27">
        <f>(221*AT29)/100</f>
        <v>72.930000000000007</v>
      </c>
      <c r="BC27">
        <f t="shared" ref="BC27:BH27" si="1">(221*AU29)/100</f>
        <v>24.31</v>
      </c>
      <c r="BD27">
        <f t="shared" si="1"/>
        <v>68.510000000000005</v>
      </c>
      <c r="BE27">
        <f t="shared" si="1"/>
        <v>11.05</v>
      </c>
      <c r="BF27">
        <v>20</v>
      </c>
      <c r="BG27">
        <f t="shared" si="1"/>
        <v>22.1</v>
      </c>
      <c r="BH27">
        <f t="shared" si="1"/>
        <v>0</v>
      </c>
    </row>
    <row r="28" spans="4:62" x14ac:dyDescent="0.55000000000000004">
      <c r="AT28" t="s">
        <v>19</v>
      </c>
      <c r="AU28" t="s">
        <v>11</v>
      </c>
      <c r="AV28" t="s">
        <v>12</v>
      </c>
      <c r="AW28" t="s">
        <v>13</v>
      </c>
      <c r="AX28" t="s">
        <v>31</v>
      </c>
      <c r="AY28" t="s">
        <v>32</v>
      </c>
    </row>
    <row r="29" spans="4:62" x14ac:dyDescent="0.55000000000000004">
      <c r="AT29">
        <v>33</v>
      </c>
      <c r="AU29">
        <v>11</v>
      </c>
      <c r="AV29">
        <v>31</v>
      </c>
      <c r="AW29">
        <v>5</v>
      </c>
      <c r="AX29">
        <v>10</v>
      </c>
      <c r="AY29">
        <v>10</v>
      </c>
    </row>
    <row r="31" spans="4:62" x14ac:dyDescent="0.55000000000000004">
      <c r="AR31" s="4">
        <v>1.1548611111111111</v>
      </c>
      <c r="AT31" s="3">
        <v>0.38055555555555554</v>
      </c>
      <c r="AU31" s="3">
        <v>0.12291666666666666</v>
      </c>
      <c r="AV31" s="3">
        <v>0.35972222222222222</v>
      </c>
      <c r="AW31" s="3">
        <v>5.9722222222222225E-2</v>
      </c>
      <c r="AX31" s="3">
        <v>0.11944444444444445</v>
      </c>
      <c r="AY31" s="3">
        <v>0.1125</v>
      </c>
    </row>
    <row r="32" spans="4:62" x14ac:dyDescent="0.55000000000000004">
      <c r="AR32" s="4">
        <f>AR31-AS36</f>
        <v>0.95625000000000004</v>
      </c>
      <c r="AT32" s="3">
        <f>AT31-AU36</f>
        <v>0.3034722222222222</v>
      </c>
      <c r="AU32" s="3">
        <f t="shared" ref="AU32:AY32" si="2">AU31-AV36</f>
        <v>0.10625</v>
      </c>
      <c r="AV32" s="3">
        <f t="shared" si="2"/>
        <v>0.32500000000000001</v>
      </c>
      <c r="AW32" s="3">
        <f t="shared" si="2"/>
        <v>5.1388888888888894E-2</v>
      </c>
      <c r="AX32" s="3">
        <f t="shared" si="2"/>
        <v>9.375E-2</v>
      </c>
      <c r="AY32" s="3">
        <f t="shared" si="2"/>
        <v>7.6388888888888895E-2</v>
      </c>
    </row>
    <row r="33" spans="2:55" x14ac:dyDescent="0.55000000000000004">
      <c r="AT33">
        <f>AT32/AR32</f>
        <v>0.31735657225853298</v>
      </c>
      <c r="AU33">
        <f>AU32/AR32</f>
        <v>0.1111111111111111</v>
      </c>
      <c r="AV33">
        <f>AV32/AR32</f>
        <v>0.33986928104575165</v>
      </c>
      <c r="AW33">
        <f>AW32/AR32</f>
        <v>5.374001452432825E-2</v>
      </c>
      <c r="AX33">
        <f>AX32/AR32</f>
        <v>9.8039215686274508E-2</v>
      </c>
      <c r="AY33">
        <f>AY32/AR32</f>
        <v>7.9883805374001457E-2</v>
      </c>
      <c r="BC33">
        <f>SUM(AT33:AY33)</f>
        <v>0.99999999999999989</v>
      </c>
    </row>
    <row r="34" spans="2:55" x14ac:dyDescent="0.55000000000000004">
      <c r="AT34">
        <v>32</v>
      </c>
      <c r="AU34">
        <v>11</v>
      </c>
      <c r="AV34">
        <v>34</v>
      </c>
      <c r="AW34">
        <v>5</v>
      </c>
      <c r="AX34">
        <v>10</v>
      </c>
      <c r="AY34">
        <v>8</v>
      </c>
    </row>
    <row r="35" spans="2:55" x14ac:dyDescent="0.55000000000000004">
      <c r="AR35">
        <f>AT32/AR32</f>
        <v>0.31735657225853298</v>
      </c>
      <c r="AU35" t="s">
        <v>19</v>
      </c>
      <c r="AV35" t="s">
        <v>11</v>
      </c>
      <c r="AW35" t="s">
        <v>12</v>
      </c>
      <c r="AX35" t="s">
        <v>13</v>
      </c>
      <c r="AY35" t="s">
        <v>31</v>
      </c>
      <c r="AZ35" t="s">
        <v>32</v>
      </c>
    </row>
    <row r="36" spans="2:55" x14ac:dyDescent="0.55000000000000004">
      <c r="AS36" s="3">
        <v>0.1986111111111111</v>
      </c>
      <c r="AU36" s="3">
        <v>7.7083333333333337E-2</v>
      </c>
      <c r="AV36" s="3">
        <v>1.6666666666666666E-2</v>
      </c>
      <c r="AW36" s="3">
        <v>3.4722222222222224E-2</v>
      </c>
      <c r="AX36" s="3">
        <v>8.3333333333333332E-3</v>
      </c>
      <c r="AY36" s="3">
        <v>2.5694444444444443E-2</v>
      </c>
      <c r="AZ36" s="3">
        <v>3.6111111111111108E-2</v>
      </c>
    </row>
    <row r="37" spans="2:55" x14ac:dyDescent="0.55000000000000004">
      <c r="AU37">
        <f>AU36/AS36</f>
        <v>0.38811188811188813</v>
      </c>
      <c r="AV37">
        <f>AV36/AS36</f>
        <v>8.3916083916083919E-2</v>
      </c>
      <c r="AW37">
        <f>AW36/AS36</f>
        <v>0.17482517482517484</v>
      </c>
      <c r="AX37">
        <f>AX36/AS36</f>
        <v>4.195804195804196E-2</v>
      </c>
      <c r="AY37">
        <f>AY36/AS36</f>
        <v>0.12937062937062938</v>
      </c>
      <c r="AZ37">
        <f>AZ36/AS36</f>
        <v>0.18181818181818182</v>
      </c>
    </row>
    <row r="38" spans="2:55" x14ac:dyDescent="0.55000000000000004">
      <c r="AU38">
        <v>39</v>
      </c>
      <c r="AV38">
        <v>8</v>
      </c>
      <c r="AW38">
        <v>17</v>
      </c>
      <c r="AX38">
        <v>4</v>
      </c>
      <c r="AY38">
        <v>13</v>
      </c>
      <c r="AZ38">
        <v>18</v>
      </c>
    </row>
    <row r="46" spans="2:55" ht="18.5" thickBot="1" x14ac:dyDescent="0.6">
      <c r="B46" t="s">
        <v>21</v>
      </c>
      <c r="C46" t="s">
        <v>22</v>
      </c>
      <c r="D46" t="s">
        <v>23</v>
      </c>
      <c r="E46" t="s">
        <v>24</v>
      </c>
    </row>
    <row r="47" spans="2:55" ht="114" thickBot="1" x14ac:dyDescent="0.6">
      <c r="I47" s="1" t="s">
        <v>25</v>
      </c>
      <c r="J47" s="1" t="s">
        <v>26</v>
      </c>
      <c r="N47" s="1" t="s">
        <v>27</v>
      </c>
    </row>
    <row r="48" spans="2:55" ht="24" thickBot="1" x14ac:dyDescent="0.6">
      <c r="I48" s="2">
        <v>1</v>
      </c>
      <c r="J48" s="2">
        <v>97</v>
      </c>
      <c r="M48">
        <v>2</v>
      </c>
      <c r="N48" s="2">
        <v>58.57</v>
      </c>
    </row>
    <row r="49" spans="5:48" ht="24" thickBot="1" x14ac:dyDescent="0.6">
      <c r="I49" s="2">
        <v>2</v>
      </c>
      <c r="J49" s="2">
        <v>111</v>
      </c>
      <c r="M49">
        <v>3</v>
      </c>
      <c r="N49" s="2">
        <v>-4.07</v>
      </c>
    </row>
    <row r="50" spans="5:48" ht="24" thickBot="1" x14ac:dyDescent="0.6">
      <c r="I50" s="2">
        <v>3</v>
      </c>
      <c r="J50" s="2">
        <v>118</v>
      </c>
      <c r="M50">
        <v>4</v>
      </c>
      <c r="N50" s="2">
        <v>-42.53</v>
      </c>
    </row>
    <row r="51" spans="5:48" ht="24" thickBot="1" x14ac:dyDescent="0.6">
      <c r="I51" s="2">
        <v>4</v>
      </c>
      <c r="J51" s="2">
        <v>45</v>
      </c>
      <c r="N51" s="2"/>
    </row>
    <row r="58" spans="5:48" ht="18.5" thickBot="1" x14ac:dyDescent="0.6"/>
    <row r="59" spans="5:48" ht="69" thickBot="1" x14ac:dyDescent="0.6">
      <c r="E59" s="1"/>
      <c r="F59" s="1" t="s">
        <v>28</v>
      </c>
    </row>
    <row r="60" spans="5:48" ht="24" thickBot="1" x14ac:dyDescent="0.6">
      <c r="E60" s="2">
        <v>1</v>
      </c>
      <c r="F60" s="2">
        <v>6.65</v>
      </c>
      <c r="AV60">
        <f>SUM(AR61:AR63)</f>
        <v>44.900000000000006</v>
      </c>
    </row>
    <row r="61" spans="5:48" ht="24" thickBot="1" x14ac:dyDescent="0.6">
      <c r="E61" s="2">
        <v>2</v>
      </c>
      <c r="F61" s="2">
        <v>6.68</v>
      </c>
      <c r="AR61">
        <v>22.2</v>
      </c>
      <c r="AS61">
        <v>2.8</v>
      </c>
    </row>
    <row r="62" spans="5:48" ht="24" thickBot="1" x14ac:dyDescent="0.6">
      <c r="E62" s="2">
        <v>3</v>
      </c>
      <c r="F62" s="2">
        <v>9.6199999999999992</v>
      </c>
      <c r="AR62">
        <v>1.1000000000000001</v>
      </c>
    </row>
    <row r="63" spans="5:48" ht="24" thickBot="1" x14ac:dyDescent="0.6">
      <c r="E63" s="2">
        <v>4</v>
      </c>
      <c r="F63" s="2">
        <v>4.7699999999999996</v>
      </c>
      <c r="AR63">
        <v>21.6</v>
      </c>
    </row>
    <row r="66" spans="12:26" ht="18.5" thickBot="1" x14ac:dyDescent="0.6"/>
    <row r="67" spans="12:26" ht="24" thickBot="1" x14ac:dyDescent="0.6">
      <c r="L67">
        <v>1</v>
      </c>
      <c r="M67" s="2">
        <v>-38.82</v>
      </c>
    </row>
    <row r="68" spans="12:26" ht="92.5" thickBot="1" x14ac:dyDescent="0.6">
      <c r="L68">
        <v>2</v>
      </c>
      <c r="M68" s="2">
        <v>9.51</v>
      </c>
      <c r="Z68" s="1" t="s">
        <v>29</v>
      </c>
    </row>
    <row r="69" spans="12:26" ht="24" thickBot="1" x14ac:dyDescent="0.6">
      <c r="L69">
        <v>3</v>
      </c>
      <c r="M69" s="2">
        <v>29.65</v>
      </c>
      <c r="Z69" s="2">
        <v>14.6</v>
      </c>
    </row>
    <row r="70" spans="12:26" ht="24" thickBot="1" x14ac:dyDescent="0.6">
      <c r="L70">
        <v>4</v>
      </c>
      <c r="M70" s="2">
        <v>-14.36</v>
      </c>
      <c r="Z70" s="2">
        <v>16.600000000000001</v>
      </c>
    </row>
    <row r="71" spans="12:26" ht="24" thickBot="1" x14ac:dyDescent="0.6">
      <c r="M71" s="2"/>
      <c r="Z71" s="2">
        <v>12.3</v>
      </c>
    </row>
    <row r="72" spans="12:26" ht="24" thickBot="1" x14ac:dyDescent="0.6">
      <c r="Z72" s="2">
        <v>4.4400000000000004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MITOME Shintaro</dc:creator>
  <cp:lastModifiedBy>MITOME Shintaro</cp:lastModifiedBy>
  <dcterms:created xsi:type="dcterms:W3CDTF">2025-06-22T13:07:46Z</dcterms:created>
  <dcterms:modified xsi:type="dcterms:W3CDTF">2025-07-05T10:27:04Z</dcterms:modified>
</cp:coreProperties>
</file>